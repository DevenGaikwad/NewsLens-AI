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Type="http://schemas.openxmlformats.org/officeDocument/2006/relationships/officeDocument" Target="/xl/workbook.xml" Id="R5d009cb2b9aa42cb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38d676dea754f8a"/>
    <x:sheet xmlns:r="http://schemas.openxmlformats.org/officeDocument/2006/relationships" name="Literature Matrix" sheetId="2" r:id="R88eb7e9a6e3a4b6e"/>
    <x:sheet xmlns:r="http://schemas.openxmlformats.org/officeDocument/2006/relationships" name="Coverage Map" sheetId="3" r:id="R5612d8ffeea3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2">
    <x:font>
      <x:sz val="11"/>
      <x:name val="Carlito"/>
    </x:font>
    <x:font>
      <x:b/>
      <x:sz val="22"/>
      <x:color rgb="FFFFFFFF"/>
      <x:name val="Carlito"/>
    </x:font>
    <x:font>
      <x:i/>
      <x:sz val="10"/>
      <x:color rgb="FF1A1917"/>
      <x:name val="Carlito"/>
    </x:font>
    <x:font>
      <x:b/>
      <x:sz val="11"/>
      <x:color rgb="FFFFFFFF"/>
      <x:name val="Carlito"/>
    </x:font>
    <x:font>
      <x:sz val="11"/>
      <x:color rgb="FF1A1917"/>
      <x:name val="Carlito"/>
    </x:font>
    <x:font>
      <x:b/>
      <x:sz val="14"/>
      <x:color rgb="FF806A5A"/>
      <x:name val="Carlito"/>
    </x:font>
    <x:font>
      <x:sz val="10"/>
      <x:color rgb="FF1A1917"/>
      <x:name val="Carlito"/>
    </x:font>
    <x:font>
      <x:b/>
      <x:sz val="22"/>
      <x:color rgb="FFFFFFFF"/>
      <x:name val="Aptos"/>
    </x:font>
    <x:font>
      <x:i/>
      <x:sz val="10"/>
      <x:color rgb="FF1A1917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A1917"/>
      <x:name val="Aptos"/>
    </x:font>
    <x:font>
      <x:b/>
      <x:sz val="14"/>
      <x:color rgb="FF806A5A"/>
      <x:name val="Aptos"/>
    </x:font>
    <x:font>
      <x:sz val="10"/>
      <x:color rgb="FF1A1917"/>
      <x:name val="Aptos"/>
    </x:font>
    <x:font>
      <x:b/>
      <x:sz val="20"/>
      <x:color rgb="FFFFFFFF"/>
      <x:name val="Carlito"/>
    </x:font>
    <x:font>
      <x:i/>
      <x:sz val="11"/>
      <x:color rgb="FF1A1917"/>
      <x:name val="Carlito"/>
    </x:font>
    <x:font>
      <x:b/>
      <x:sz val="10"/>
      <x:color rgb="FFFFFFFF"/>
      <x:name val="Carlito"/>
    </x:font>
    <x:font>
      <x:sz val="9"/>
      <x:color rgb="FF1A1917"/>
      <x:name val="Carlito"/>
    </x:font>
    <x:font>
      <x:b/>
      <x:sz val="20"/>
      <x:color rgb="FFFFFFFF"/>
      <x:name val="Aptos"/>
    </x:font>
    <x:font>
      <x:i/>
      <x:sz val="11"/>
      <x:color rgb="FF1A1917"/>
      <x:name val="Aptos"/>
    </x:font>
    <x:font>
      <x:b/>
      <x:sz val="10"/>
      <x:color rgb="FFFFFFFF"/>
      <x:name val="Aptos"/>
    </x:font>
    <x:font>
      <x:sz val="9"/>
      <x:color rgb="FF1A191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2A241F"/>
      </x:patternFill>
    </x:fill>
    <x:fill>
      <x:patternFill patternType="solid">
        <x:fgColor rgb="FFE8DDCA"/>
      </x:patternFill>
    </x:fill>
    <x:fill>
      <x:patternFill patternType="solid">
        <x:fgColor rgb="FF9B8066"/>
      </x:patternFill>
    </x:fill>
    <x:fill>
      <x:patternFill patternType="solid">
        <x:fgColor rgb="FFF8F4EA"/>
      </x:patternFill>
    </x:fill>
    <x:fill>
      <x:patternFill patternType="solid">
        <x:fgColor rgb="FFFFFFFF"/>
      </x:patternFill>
    </x:fill>
    <x:fill>
      <x:patternFill patternType="solid">
        <x:fgColor rgb="FF806A5A"/>
      </x:patternFill>
    </x:fill>
    <x:fill>
      <x:patternFill patternType="solid">
        <x:fgColor rgb="FFF2ECE1"/>
      </x:patternFill>
    </x:fill>
    <x:fill>
      <x:patternFill patternType="solid">
        <x:fgColor rgb="FF526458"/>
      </x:patternFill>
    </x:fill>
    <x:fill>
      <x:patternFill patternType="solid">
        <x:fgColor rgb="FFF7FAFF"/>
      </x:patternFill>
    </x:fill>
  </x:fills>
  <x:borders count="25">
    <x:border/>
    <x:border>
      <x:right style="thin">
        <x:color rgb="FFC9D6EA"/>
      </x:right>
      <x:bottom style="thin">
        <x:color rgb="FFC9D6EA"/>
      </x:bottom>
    </x:border>
    <x:border>
      <x:left style="thin">
        <x:color rgb="FFC9D6EA"/>
      </x:left>
      <x:bottom style="thin">
        <x:color rgb="FFC9D6EA"/>
      </x:bottom>
    </x:border>
    <x:border>
      <x:right style="thin">
        <x:color rgb="FFC9D6EA"/>
      </x:right>
      <x:top style="thin">
        <x:color rgb="FFC9D6EA"/>
      </x:top>
      <x:bottom style="thin">
        <x:color rgb="FFC9D6EA"/>
      </x:bottom>
    </x:border>
    <x:border>
      <x:left style="thin">
        <x:color rgb="FFC9D6EA"/>
      </x:left>
      <x:top style="thin">
        <x:color rgb="FFC9D6EA"/>
      </x:top>
      <x:bottom style="thin">
        <x:color rgb="FFC9D6EA"/>
      </x:bottom>
    </x:border>
    <x:border>
      <x:right style="thin">
        <x:color rgb="FFC9D6EA"/>
      </x:right>
      <x:top style="thin">
        <x:color rgb="FFC9D6EA"/>
      </x:top>
    </x:border>
    <x:border>
      <x:left style="thin">
        <x:color rgb="FFC9D6EA"/>
      </x:left>
      <x:top style="thin">
        <x:color rgb="FFC9D6EA"/>
      </x:top>
    </x:border>
    <x:border>
      <x:right style="thin">
        <x:color rgb="FFD7E0EE"/>
      </x:right>
      <x:bottom style="thin">
        <x:color rgb="FFD7E0EE"/>
      </x:bottom>
    </x:border>
    <x:border>
      <x:left style="thin">
        <x:color rgb="FFD7E0EE"/>
      </x:left>
      <x:right style="thin">
        <x:color rgb="FFD7E0EE"/>
      </x:right>
      <x:bottom style="thin">
        <x:color rgb="FFD7E0EE"/>
      </x:bottom>
    </x:border>
    <x:border>
      <x:left style="thin">
        <x:color rgb="FFD7E0EE"/>
      </x:left>
      <x:bottom style="thin">
        <x:color rgb="FFD7E0EE"/>
      </x:bottom>
    </x:border>
    <x:border>
      <x:right style="thin">
        <x:color rgb="FFD7E0EE"/>
      </x:right>
      <x:top style="thin">
        <x:color rgb="FFD7E0EE"/>
      </x:top>
      <x:bottom style="thin">
        <x:color rgb="FFD7E0EE"/>
      </x:bottom>
    </x:border>
    <x:border>
      <x:left style="thin">
        <x:color rgb="FFD7E0EE"/>
      </x:left>
      <x:right style="thin">
        <x:color rgb="FFD7E0EE"/>
      </x:right>
      <x:top style="thin">
        <x:color rgb="FFD7E0EE"/>
      </x:top>
      <x:bottom style="thin">
        <x:color rgb="FFD7E0EE"/>
      </x:bottom>
    </x:border>
    <x:border>
      <x:left style="thin">
        <x:color rgb="FFD7E0EE"/>
      </x:left>
      <x:top style="thin">
        <x:color rgb="FFD7E0EE"/>
      </x:top>
      <x:bottom style="thin">
        <x:color rgb="FFD7E0EE"/>
      </x:bottom>
    </x:border>
    <x:border>
      <x:right style="thin">
        <x:color rgb="FFD7E0EE"/>
      </x:right>
      <x:top style="thin">
        <x:color rgb="FFD7E0EE"/>
      </x:top>
    </x:border>
    <x:border>
      <x:left style="thin">
        <x:color rgb="FFD7E0EE"/>
      </x:left>
      <x:right style="thin">
        <x:color rgb="FFD7E0EE"/>
      </x:right>
      <x:top style="thin">
        <x:color rgb="FFD7E0EE"/>
      </x:top>
    </x:border>
    <x:border>
      <x:left style="thin">
        <x:color rgb="FFD7E0EE"/>
      </x:left>
      <x:top style="thin">
        <x:color rgb="FFD7E0EE"/>
      </x:top>
    </x:border>
    <x:border>
      <x:right style="thin">
        <x:color rgb="FFD8E2F0"/>
      </x:right>
      <x:bottom style="thin">
        <x:color rgb="FFD8E2F0"/>
      </x:bottom>
    </x:border>
    <x:border>
      <x:left style="thin">
        <x:color rgb="FFD8E2F0"/>
      </x:left>
      <x:right style="thin">
        <x:color rgb="FFD8E2F0"/>
      </x:right>
      <x:bottom style="thin">
        <x:color rgb="FFD8E2F0"/>
      </x:bottom>
    </x:border>
    <x:border>
      <x:left style="thin">
        <x:color rgb="FFD8E2F0"/>
      </x:left>
      <x:bottom style="thin">
        <x:color rgb="FFD8E2F0"/>
      </x:bottom>
    </x:border>
    <x:border>
      <x:right style="thin">
        <x:color rgb="FFD8E2F0"/>
      </x:right>
      <x:top style="thin">
        <x:color rgb="FFD8E2F0"/>
      </x:top>
      <x:bottom style="thin">
        <x:color rgb="FFD8E2F0"/>
      </x:bottom>
    </x:border>
    <x:border>
      <x:left style="thin">
        <x:color rgb="FFD8E2F0"/>
      </x:left>
      <x:right style="thin">
        <x:color rgb="FFD8E2F0"/>
      </x:right>
      <x:top style="thin">
        <x:color rgb="FFD8E2F0"/>
      </x:top>
      <x:bottom style="thin">
        <x:color rgb="FFD8E2F0"/>
      </x:bottom>
    </x:border>
    <x:border>
      <x:left style="thin">
        <x:color rgb="FFD8E2F0"/>
      </x:left>
      <x:top style="thin">
        <x:color rgb="FFD8E2F0"/>
      </x:top>
      <x:bottom style="thin">
        <x:color rgb="FFD8E2F0"/>
      </x:bottom>
    </x:border>
    <x:border>
      <x:right style="thin">
        <x:color rgb="FFD8E2F0"/>
      </x:right>
      <x:top style="thin">
        <x:color rgb="FFD8E2F0"/>
      </x:top>
    </x:border>
    <x:border>
      <x:left style="thin">
        <x:color rgb="FFD8E2F0"/>
      </x:left>
      <x:right style="thin">
        <x:color rgb="FFD8E2F0"/>
      </x:right>
      <x:top style="thin">
        <x:color rgb="FFD8E2F0"/>
      </x:top>
    </x:border>
    <x:border>
      <x:left style="thin">
        <x:color rgb="FFD8E2F0"/>
      </x:left>
      <x:top style="thin">
        <x:color rgb="FFD8E2F0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0" fontId="5" fillId="6" borderId="4" xfId="0" applyNumberFormat="1" applyFont="1" applyFill="1" applyBorder="1"/>
    <x:xf numFmtId="200" fontId="5" fillId="6" borderId="6" xfId="0" applyNumberFormat="1" applyFont="1" applyFill="1" applyBorder="1"/>
    <x:xf numFmtId="200" fontId="5" fillId="6" borderId="4" xfId="0" applyNumberFormat="1" applyFont="1" applyFill="1" applyBorder="1" applyAlignment="1">
      <x:alignment horizontal="center"/>
    </x:xf>
    <x:xf numFmtId="200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3" fillId="9" borderId="7" xfId="0" applyNumberFormat="1" applyFont="1" applyFill="1" applyBorder="1"/>
    <x:xf numFmtId="0" fontId="3" fillId="9" borderId="8" xfId="0" applyNumberFormat="1" applyFont="1" applyFill="1" applyBorder="1"/>
    <x:xf numFmtId="0" fontId="3" fillId="9" borderId="9" xfId="0" applyNumberFormat="1" applyFont="1" applyFill="1" applyBorder="1"/>
    <x:xf numFmtId="0" fontId="3" fillId="2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2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/>
    <x:xf numFmtId="0" fontId="11" fillId="5" borderId="3" xfId="0" applyNumberFormat="1" applyFont="1" applyFill="1" applyBorder="1"/>
    <x:xf numFmtId="200" fontId="12" fillId="6" borderId="4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/>
    <x:xf numFmtId="200" fontId="12" fillId="6" borderId="6" xfId="0" applyNumberFormat="1" applyFont="1" applyFill="1" applyBorder="1" applyAlignment="1">
      <x:alignment horizontal="center"/>
    </x:xf>
    <x:xf numFmtId="0" fontId="10" fillId="9" borderId="7" xfId="0" applyNumberFormat="1" applyFont="1" applyFill="1" applyBorder="1"/>
    <x:xf numFmtId="0" fontId="10" fillId="9" borderId="8" xfId="0" applyNumberFormat="1" applyFont="1" applyFill="1" applyBorder="1"/>
    <x:xf numFmtId="0" fontId="10" fillId="9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10" fillId="2" borderId="0" xfId="0" applyNumberFormat="1" applyFont="1" applyFill="1" applyBorder="1"/>
    <x:xf numFmtId="0" fontId="11" fillId="1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horizontal="center" wrapText="1"/>
    </x:xf>
    <x:xf numFmtId="0" fontId="16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7" fillId="5" borderId="0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horizontal="center" vertical="top" wrapText="1"/>
    </x:xf>
    <x:xf numFmtId="0" fontId="17" fillId="6" borderId="0" xfId="0" applyNumberFormat="1" applyFont="1" applyFill="1" applyBorder="1" applyAlignment="1">
      <x:alignment horizontal="center" vertical="top" wrapText="1"/>
    </x:xf>
    <x:xf numFmtId="0" fontId="16" fillId="4" borderId="16" xfId="0" applyNumberFormat="1" applyFont="1" applyFill="1" applyBorder="1" applyAlignment="1">
      <x:alignment horizontal="center" vertical="center" wrapText="1"/>
    </x:xf>
    <x:xf numFmtId="0" fontId="16" fillId="4" borderId="17" xfId="0" applyNumberFormat="1" applyFont="1" applyFill="1" applyBorder="1" applyAlignment="1">
      <x:alignment horizontal="center" vertical="center" wrapText="1"/>
    </x:xf>
    <x:xf numFmtId="0" fontId="16" fillId="4" borderId="18" xfId="0" applyNumberFormat="1" applyFont="1" applyFill="1" applyBorder="1" applyAlignment="1">
      <x:alignment horizontal="center" vertical="center" wrapText="1"/>
    </x:xf>
    <x:xf numFmtId="0" fontId="17" fillId="5" borderId="19" xfId="0" applyNumberFormat="1" applyFont="1" applyFill="1" applyBorder="1" applyAlignment="1">
      <x:alignment horizontal="center"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horizontal="center" vertical="top" wrapText="1"/>
    </x:xf>
    <x:xf numFmtId="0" fontId="17" fillId="5" borderId="21" xfId="0" applyNumberFormat="1" applyFont="1" applyFill="1" applyBorder="1" applyAlignment="1">
      <x:alignment vertical="top" wrapText="1"/>
    </x:xf>
    <x:xf numFmtId="0" fontId="17" fillId="6" borderId="19" xfId="0" applyNumberFormat="1" applyFont="1" applyFill="1" applyBorder="1" applyAlignment="1">
      <x:alignment horizontal="center" vertical="top" wrapText="1"/>
    </x:xf>
    <x:xf numFmtId="0" fontId="17" fillId="6" borderId="20" xfId="0" applyNumberFormat="1" applyFont="1" applyFill="1" applyBorder="1" applyAlignment="1">
      <x:alignment vertical="top" wrapText="1"/>
    </x:xf>
    <x:xf numFmtId="0" fontId="17" fillId="6" borderId="20" xfId="0" applyNumberFormat="1" applyFont="1" applyFill="1" applyBorder="1" applyAlignment="1">
      <x:alignment horizontal="center" vertical="top" wrapText="1"/>
    </x:xf>
    <x:xf numFmtId="0" fontId="17" fillId="6" borderId="21" xfId="0" applyNumberFormat="1" applyFont="1" applyFill="1" applyBorder="1" applyAlignment="1">
      <x:alignment vertical="top" wrapText="1"/>
    </x:xf>
    <x:xf numFmtId="0" fontId="17" fillId="6" borderId="22" xfId="0" applyNumberFormat="1" applyFont="1" applyFill="1" applyBorder="1" applyAlignment="1">
      <x:alignment horizontal="center" vertical="top" wrapText="1"/>
    </x:xf>
    <x:xf numFmtId="0" fontId="17" fillId="6" borderId="23" xfId="0" applyNumberFormat="1" applyFont="1" applyFill="1" applyBorder="1" applyAlignment="1">
      <x:alignment vertical="top" wrapText="1"/>
    </x:xf>
    <x:xf numFmtId="0" fontId="17" fillId="6" borderId="23" xfId="0" applyNumberFormat="1" applyFont="1" applyFill="1" applyBorder="1" applyAlignment="1">
      <x:alignment horizontal="center" vertical="top" wrapText="1"/>
    </x:xf>
    <x:xf numFmtId="0" fontId="17" fillId="6" borderId="24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 wrapText="1"/>
    </x:xf>
    <x:xf numFmtId="0" fontId="20" fillId="4" borderId="16" xfId="0" applyNumberFormat="1" applyFont="1" applyFill="1" applyBorder="1" applyAlignment="1">
      <x:alignment horizontal="center" vertical="center" wrapText="1"/>
    </x:xf>
    <x:xf numFmtId="0" fontId="20" fillId="4" borderId="17" xfId="0" applyNumberFormat="1" applyFont="1" applyFill="1" applyBorder="1" applyAlignment="1">
      <x:alignment horizontal="center" vertical="center" wrapText="1"/>
    </x:xf>
    <x:xf numFmtId="0" fontId="20" fillId="4" borderId="18" xfId="0" applyNumberFormat="1" applyFont="1" applyFill="1" applyBorder="1" applyAlignment="1">
      <x:alignment horizontal="center" vertical="center" wrapText="1"/>
    </x:xf>
    <x:xf numFmtId="0" fontId="21" fillId="5" borderId="19" xfId="0" applyNumberFormat="1" applyFont="1" applyFill="1" applyBorder="1" applyAlignment="1">
      <x:alignment horizontal="center" vertical="top" wrapText="1"/>
    </x:xf>
    <x:xf numFmtId="0" fontId="21" fillId="5" borderId="20" xfId="0" applyNumberFormat="1" applyFont="1" applyFill="1" applyBorder="1" applyAlignment="1">
      <x:alignment vertical="top" wrapText="1"/>
    </x:xf>
    <x:xf numFmtId="0" fontId="21" fillId="5" borderId="20" xfId="0" applyNumberFormat="1" applyFont="1" applyFill="1" applyBorder="1" applyAlignment="1">
      <x:alignment horizontal="center" vertical="top" wrapText="1"/>
    </x:xf>
    <x:xf numFmtId="0" fontId="21" fillId="5" borderId="21" xfId="0" applyNumberFormat="1" applyFont="1" applyFill="1" applyBorder="1" applyAlignment="1">
      <x:alignment vertical="top" wrapText="1"/>
    </x:xf>
    <x:xf numFmtId="0" fontId="21" fillId="6" borderId="19" xfId="0" applyNumberFormat="1" applyFont="1" applyFill="1" applyBorder="1" applyAlignment="1">
      <x:alignment horizontal="center" vertical="top" wrapText="1"/>
    </x:xf>
    <x:xf numFmtId="0" fontId="21" fillId="6" borderId="20" xfId="0" applyNumberFormat="1" applyFont="1" applyFill="1" applyBorder="1" applyAlignment="1">
      <x:alignment vertical="top" wrapText="1"/>
    </x:xf>
    <x:xf numFmtId="0" fontId="21" fillId="6" borderId="20" xfId="0" applyNumberFormat="1" applyFont="1" applyFill="1" applyBorder="1" applyAlignment="1">
      <x:alignment horizontal="center" vertical="top" wrapText="1"/>
    </x:xf>
    <x:xf numFmtId="0" fontId="21" fillId="6" borderId="21" xfId="0" applyNumberFormat="1" applyFont="1" applyFill="1" applyBorder="1" applyAlignment="1">
      <x:alignment vertical="top" wrapText="1"/>
    </x:xf>
    <x:xf numFmtId="0" fontId="21" fillId="6" borderId="22" xfId="0" applyNumberFormat="1" applyFont="1" applyFill="1" applyBorder="1" applyAlignment="1">
      <x:alignment horizontal="center" vertical="top" wrapText="1"/>
    </x:xf>
    <x:xf numFmtId="0" fontId="21" fillId="6" borderId="23" xfId="0" applyNumberFormat="1" applyFont="1" applyFill="1" applyBorder="1" applyAlignment="1">
      <x:alignment vertical="top" wrapText="1"/>
    </x:xf>
    <x:xf numFmtId="0" fontId="21" fillId="6" borderId="23" xfId="0" applyNumberFormat="1" applyFont="1" applyFill="1" applyBorder="1" applyAlignment="1">
      <x:alignment horizontal="center" vertical="top" wrapText="1"/>
    </x:xf>
    <x:xf numFmtId="0" fontId="21" fillId="6" borderId="2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9" fillId="3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87767"/>
      </x:font>
      <x:fill>
        <x:patternFill patternType="solid">
          <x:bgColor rgb="FFDDF7EF"/>
        </x:patternFill>
      </x:fill>
    </x:dxf>
    <x:dxf>
      <x:font>
        <x:b/>
        <x:color rgb="FF8A5600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f8d631e494c7b" /><Relationship Type="http://schemas.openxmlformats.org/officeDocument/2006/relationships/theme" Target="/xl/theme/theme1.xml" Id="R9d1a6c847f3c44ae" /><Relationship Type="http://schemas.openxmlformats.org/officeDocument/2006/relationships/sharedStrings" Target="/xl/sharedStrings.xml" Id="R6a533d5e6de54482" /><Relationship Type="http://schemas.openxmlformats.org/officeDocument/2006/relationships/worksheet" Target="/xl/worksheets/sheet1.xml" Id="R638d676dea754f8a" /><Relationship Type="http://schemas.openxmlformats.org/officeDocument/2006/relationships/worksheet" Target="/xl/worksheets/sheet2.xml" Id="R88eb7e9a6e3a4b6e" /><Relationship Type="http://schemas.openxmlformats.org/officeDocument/2006/relationships/worksheet" Target="/xl/worksheets/sheet3.xml" Id="R5612d8ffeea347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f5ae678b794e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literature by publication year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IEEE papers</c:v>
          </c:tx>
          <c:spPr>
            <a:solidFill xmlns:a="http://schemas.openxmlformats.org/drawingml/2006/main">
              <a:srgbClr val="806A5A"/>
            </a:solidFill>
          </c:spPr>
          <c:cat>
            <c:strRef>
              <c:f>'Overview'!$A$13:$A$18</c:f>
              <c:strCache>
                <c:ptCount val="0"/>
              </c:strCache>
            </c:strRef>
          </c:cat>
          <c:val>
            <c:numRef>
              <c:f>'Overview'!$B$13:$B$18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Other papers</c:v>
          </c:tx>
          <c:spPr>
            <a:solidFill xmlns:a="http://schemas.openxmlformats.org/drawingml/2006/main">
              <a:srgbClr val="526458"/>
            </a:solidFill>
          </c:spPr>
          <c:cat>
            <c:strRef>
              <c:f>'Overview'!$A$13:$A$18</c:f>
              <c:strCache>
                <c:ptCount val="0"/>
              </c:strCache>
            </c:strRef>
          </c:cat>
          <c:val>
            <c:numRef>
              <c:f>'Overview'!$C$13:$C$18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f5ae678b794e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teratureMatrix" displayName="LiteratureMatrix" ref="A6:P16" headerRowCount="1" totalsRowCount="0" totalsRowShown="0">
  <x:tableColumns count="16">
    <x:tableColumn id="1" name="Sr. No."/>
    <x:tableColumn id="2" name="Paper title"/>
    <x:tableColumn id="3" name="Authors"/>
    <x:tableColumn id="4" name="Year"/>
    <x:tableColumn id="5" name="Publisher/conference/journal"/>
    <x:tableColumn id="6" name="DOI"/>
    <x:tableColumn id="7" name="IEEE Xplore link"/>
    <x:tableColumn id="8" name="Access status"/>
    <x:tableColumn id="9" name="Dataset"/>
    <x:tableColumn id="10" name="Method/model"/>
    <x:tableColumn id="11" name="Evaluation metrics"/>
    <x:tableColumn id="12" name="Major findings"/>
    <x:tableColumn id="13" name="Limitations"/>
    <x:tableColumn id="14" name="Relevance to this project"/>
    <x:tableColumn id="15" name="Research gap identified"/>
    <x:tableColumn id="16" name="Source URL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6:F16" headerRowCount="1" totalsRowCount="0" totalsRowShown="0">
  <x:tableColumns count="6">
    <x:tableColumn id="1" name="Sr. No."/>
    <x:tableColumn id="2" name="Primary area"/>
    <x:tableColumn id="3" name="Required theme"/>
    <x:tableColumn id="4" name="Venue family"/>
    <x:tableColumn id="5" name="Core model"/>
    <x:tableColumn id="6" name="Why selecte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329f1c135f41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f0415317aa40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08456bffb843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58" t="str">
        <x:v>NEWSLENS AI · VERIFIED LITERATURE SURVEY</x:v>
      </x:c>
      <x:c r="B1" s="58"/>
      <x:c r="C1" s="58"/>
      <x:c r="D1" s="58"/>
      <x:c r="E1" s="58"/>
      <x:c r="F1" s="58"/>
      <x:c r="G1" s="58"/>
      <x:c r="H1" s="58"/>
    </x:row>
    <x:row r="2" ht="32" customHeight="1">
      <x:c r="A2" s="58"/>
      <x:c r="B2" s="58"/>
      <x:c r="C2" s="58"/>
      <x:c r="D2" s="58"/>
      <x:c r="E2" s="58"/>
      <x:c r="F2" s="58"/>
      <x:c r="G2" s="58"/>
      <x:c r="H2" s="58"/>
    </x:row>
    <x:row r="3" ht="25" customHeight="1">
      <x:c r="A3" s="59" t="str">
        <x:v>10 peer-reviewed papers · 6 IEEE Xplore records · access status disclosed · metadata checked 30 July 2026</x:v>
      </x:c>
      <x:c r="B3" s="59"/>
      <x:c r="C3" s="59"/>
      <x:c r="D3" s="59"/>
      <x:c r="E3" s="59"/>
      <x:c r="F3" s="59"/>
      <x:c r="G3" s="59"/>
      <x:c r="H3" s="59"/>
    </x:row>
    <x:row r="4" ht="22" customHeight="1">
      <x:c r="A4" s="60"/>
      <x:c r="B4" s="60"/>
      <x:c r="C4" s="60"/>
      <x:c r="D4" s="60"/>
      <x:c r="E4" s="60"/>
      <x:c r="F4" s="60"/>
      <x:c r="G4" s="60"/>
      <x:c r="H4" s="60"/>
    </x:row>
    <x:row r="5" ht="22" customHeight="1">
      <x:c r="A5" s="61" t="str">
        <x:v>Metric</x:v>
      </x:c>
      <x:c r="B5" s="62" t="str">
        <x:v>Value</x:v>
      </x:c>
      <x:c r="C5" s="60"/>
      <x:c r="D5" s="63" t="str">
        <x:v>Reading and access note</x:v>
      </x:c>
      <x:c r="E5" s="63"/>
      <x:c r="F5" s="63"/>
      <x:c r="G5" s="63"/>
      <x:c r="H5" s="63"/>
    </x:row>
    <x:row r="6" ht="24" customHeight="1">
      <x:c r="A6" s="64" t="str">
        <x:v>Total papers</x:v>
      </x:c>
      <x:c r="B6" s="65" t="n">
        <x:f>COUNTA('Literature Matrix'!A7:A16)</x:f>
        <x:v>10</x:v>
      </x:c>
      <x:c r="C6" s="60"/>
      <x:c r="D6" s="66" t="str">
        <x:v>Open Access indicates a lawful public full-text route located during review. Institutional Access Required means IEEE metadata and available author/preprint material were checked, but publisher-formatted access can depend on the student's institute. No paywalled full text is represented as fully reviewed. DOI and source URLs are clickable in Excel.</x:v>
      </x:c>
      <x:c r="E6" s="66"/>
      <x:c r="F6" s="66"/>
      <x:c r="G6" s="66"/>
      <x:c r="H6" s="66"/>
    </x:row>
    <x:row r="7" ht="24" customHeight="1">
      <x:c r="A7" s="64" t="str">
        <x:v>IEEE Xplore papers</x:v>
      </x:c>
      <x:c r="B7" s="65" t="n">
        <x:f>COUNTIF('Literature Matrix'!G7:G16,"&lt;&gt;Not applicable")</x:f>
        <x:v>6</x:v>
      </x:c>
      <x:c r="C7" s="60"/>
      <x:c r="D7" s="66"/>
      <x:c r="E7" s="66"/>
      <x:c r="F7" s="66"/>
      <x:c r="G7" s="66"/>
      <x:c r="H7" s="66"/>
    </x:row>
    <x:row r="8" ht="24" customHeight="1">
      <x:c r="A8" s="64" t="str">
        <x:v>Open Access</x:v>
      </x:c>
      <x:c r="B8" s="65" t="n">
        <x:f>COUNTIF('Literature Matrix'!H7:H16,"Open Access")</x:f>
        <x:v>7</x:v>
      </x:c>
      <x:c r="C8" s="60"/>
      <x:c r="D8" s="66"/>
      <x:c r="E8" s="66"/>
      <x:c r="F8" s="66"/>
      <x:c r="G8" s="66"/>
      <x:c r="H8" s="66"/>
    </x:row>
    <x:row r="9" ht="24" customHeight="1">
      <x:c r="A9" s="64" t="str">
        <x:v>2020 or newer</x:v>
      </x:c>
      <x:c r="B9" s="65" t="n">
        <x:f>COUNTIF('Literature Matrix'!D7:D16,"&gt;=2020")</x:f>
        <x:v>8</x:v>
      </x:c>
      <x:c r="C9" s="60"/>
      <x:c r="D9" s="66"/>
      <x:c r="E9" s="66"/>
      <x:c r="F9" s="66"/>
      <x:c r="G9" s="66"/>
      <x:c r="H9" s="66"/>
    </x:row>
    <x:row r="10" ht="24" customHeight="1">
      <x:c r="A10" s="67" t="str">
        <x:v>Summarization-focused</x:v>
      </x:c>
      <x:c r="B10" s="68" t="n">
        <x:f>COUNTIF('Coverage Map'!B7:B16,"Summarization")</x:f>
        <x:v>4</x:v>
      </x:c>
      <x:c r="C10" s="60"/>
      <x:c r="D10" s="66"/>
      <x:c r="E10" s="66"/>
      <x:c r="F10" s="66"/>
      <x:c r="G10" s="66"/>
      <x:c r="H10" s="66"/>
    </x:row>
    <x:row r="11" ht="22" customHeight="1">
      <x:c r="A11" s="60"/>
      <x:c r="B11" s="60"/>
      <x:c r="C11" s="60"/>
      <x:c r="D11" s="60"/>
      <x:c r="E11" s="60"/>
      <x:c r="F11" s="60"/>
      <x:c r="G11" s="60"/>
      <x:c r="H11" s="60"/>
    </x:row>
    <x:row r="12" ht="22" customHeight="1">
      <x:c r="A12" s="69" t="str">
        <x:v>Year</x:v>
      </x:c>
      <x:c r="B12" s="70" t="str">
        <x:v>IEEE papers</x:v>
      </x:c>
      <x:c r="C12" s="71" t="str">
        <x:v>Other papers</x:v>
      </x:c>
      <x:c r="D12" s="60"/>
      <x:c r="E12" s="60"/>
      <x:c r="F12" s="60"/>
      <x:c r="G12" s="60"/>
      <x:c r="H12" s="60"/>
    </x:row>
    <x:row r="13" ht="22" customHeight="1">
      <x:c r="A13" s="72" t="n">
        <x:v>2017</x:v>
      </x:c>
      <x:c r="B13" s="73" t="n">
        <x:f>COUNTIFS('Literature Matrix'!D$7:D$16,A13,'Literature Matrix'!G$7:G$16,"&lt;&gt;Not applicable")</x:f>
        <x:v>0</x:v>
      </x:c>
      <x:c r="C13" s="74" t="n">
        <x:f>COUNTIFS('Literature Matrix'!D$7:D$16,A13,'Literature Matrix'!G$7:G$16,"Not applicable")</x:f>
        <x:v>1</x:v>
      </x:c>
      <x:c r="D13" s="60"/>
      <x:c r="E13" s="60"/>
      <x:c r="F13" s="60"/>
      <x:c r="G13" s="60"/>
      <x:c r="H13" s="60"/>
    </x:row>
    <x:row r="14" ht="22" customHeight="1">
      <x:c r="A14" s="72" t="n">
        <x:v>2018</x:v>
      </x:c>
      <x:c r="B14" s="73" t="n">
        <x:f>COUNTIFS('Literature Matrix'!D$7:D$16,A14,'Literature Matrix'!G$7:G$16,"&lt;&gt;Not applicable")</x:f>
        <x:v>0</x:v>
      </x:c>
      <x:c r="C14" s="74" t="n">
        <x:f>COUNTIFS('Literature Matrix'!D$7:D$16,A14,'Literature Matrix'!G$7:G$16,"Not applicable")</x:f>
        <x:v>1</x:v>
      </x:c>
      <x:c r="D14" s="60"/>
      <x:c r="E14" s="60"/>
      <x:c r="F14" s="60"/>
      <x:c r="G14" s="60"/>
      <x:c r="H14" s="60"/>
    </x:row>
    <x:row r="15" ht="22" customHeight="1">
      <x:c r="A15" s="72" t="n">
        <x:v>2020</x:v>
      </x:c>
      <x:c r="B15" s="73" t="n">
        <x:f>COUNTIFS('Literature Matrix'!D$7:D$16,A15,'Literature Matrix'!G$7:G$16,"&lt;&gt;Not applicable")</x:f>
        <x:v>0</x:v>
      </x:c>
      <x:c r="C15" s="74" t="n">
        <x:f>COUNTIFS('Literature Matrix'!D$7:D$16,A15,'Literature Matrix'!G$7:G$16,"Not applicable")</x:f>
        <x:v>1</x:v>
      </x:c>
      <x:c r="D15" s="60"/>
      <x:c r="E15" s="60"/>
      <x:c r="F15" s="60"/>
      <x:c r="G15" s="60"/>
      <x:c r="H15" s="60"/>
    </x:row>
    <x:row r="16" ht="22" customHeight="1">
      <x:c r="A16" s="72" t="n">
        <x:v>2021</x:v>
      </x:c>
      <x:c r="B16" s="73" t="n">
        <x:f>COUNTIFS('Literature Matrix'!D$7:D$16,A16,'Literature Matrix'!G$7:G$16,"&lt;&gt;Not applicable")</x:f>
        <x:v>0</x:v>
      </x:c>
      <x:c r="C16" s="74" t="n">
        <x:f>COUNTIFS('Literature Matrix'!D$7:D$16,A16,'Literature Matrix'!G$7:G$16,"Not applicable")</x:f>
        <x:v>1</x:v>
      </x:c>
      <x:c r="D16" s="60"/>
      <x:c r="E16" s="60"/>
      <x:c r="F16" s="60"/>
      <x:c r="G16" s="60"/>
      <x:c r="H16" s="60"/>
    </x:row>
    <x:row r="17" ht="22" customHeight="1">
      <x:c r="A17" s="72" t="n">
        <x:v>2022</x:v>
      </x:c>
      <x:c r="B17" s="73" t="n">
        <x:f>COUNTIFS('Literature Matrix'!D$7:D$16,A17,'Literature Matrix'!G$7:G$16,"&lt;&gt;Not applicable")</x:f>
        <x:v>3</x:v>
      </x:c>
      <x:c r="C17" s="74" t="n">
        <x:f>COUNTIFS('Literature Matrix'!D$7:D$16,A17,'Literature Matrix'!G$7:G$16,"Not applicable")</x:f>
        <x:v>0</x:v>
      </x:c>
      <x:c r="D17" s="60"/>
      <x:c r="E17" s="60"/>
      <x:c r="F17" s="60"/>
      <x:c r="G17" s="60"/>
      <x:c r="H17" s="60"/>
    </x:row>
    <x:row r="18" ht="22" customHeight="1">
      <x:c r="A18" s="75" t="n">
        <x:v>2024</x:v>
      </x:c>
      <x:c r="B18" s="76" t="n">
        <x:f>COUNTIFS('Literature Matrix'!D$7:D$16,A18,'Literature Matrix'!G$7:G$16,"&lt;&gt;Not applicable")</x:f>
        <x:v>3</x:v>
      </x:c>
      <x:c r="C18" s="77" t="n">
        <x:f>COUNTIFS('Literature Matrix'!D$7:D$16,A18,'Literature Matrix'!G$7:G$16,"Not applicable")</x:f>
        <x:v>0</x:v>
      </x:c>
      <x:c r="D18" s="60"/>
      <x:c r="E18" s="60"/>
      <x:c r="F18" s="60"/>
      <x:c r="G18" s="60"/>
      <x:c r="H18" s="60"/>
    </x:row>
    <x:row r="19" ht="22" customHeight="1">
      <x:c r="A19" s="60"/>
      <x:c r="B19" s="60"/>
      <x:c r="C19" s="60"/>
      <x:c r="D19" s="60"/>
      <x:c r="E19" s="60"/>
      <x:c r="F19" s="60"/>
      <x:c r="G19" s="60"/>
      <x:c r="H19" s="60"/>
    </x:row>
    <x:row r="20" ht="22" customHeight="1">
      <x:c r="A20" s="60"/>
      <x:c r="B20" s="60"/>
      <x:c r="C20" s="60"/>
      <x:c r="D20" s="60"/>
      <x:c r="E20" s="60"/>
      <x:c r="F20" s="60"/>
      <x:c r="G20" s="60"/>
      <x:c r="H20" s="60"/>
    </x:row>
    <x:row r="21" ht="22" customHeight="1">
      <x:c r="A21" s="60"/>
      <x:c r="B21" s="60"/>
      <x:c r="C21" s="60"/>
      <x:c r="D21" s="60"/>
      <x:c r="E21" s="60"/>
      <x:c r="F21" s="60"/>
      <x:c r="G21" s="60"/>
      <x:c r="H21" s="60"/>
    </x:row>
    <x:row r="22" ht="22" customHeight="1">
      <x:c r="A22" s="60"/>
      <x:c r="B22" s="60"/>
      <x:c r="C22" s="60"/>
      <x:c r="D22" s="60"/>
      <x:c r="E22" s="60"/>
      <x:c r="F22" s="60"/>
      <x:c r="G22" s="60"/>
      <x:c r="H22" s="60"/>
    </x:row>
    <x:row r="23" ht="22" customHeight="1">
      <x:c r="A23" s="60"/>
      <x:c r="B23" s="60"/>
      <x:c r="C23" s="60"/>
      <x:c r="D23" s="60"/>
      <x:c r="E23" s="60"/>
      <x:c r="F23" s="60"/>
      <x:c r="G23" s="60"/>
      <x:c r="H23" s="60"/>
    </x:row>
    <x:row r="24" ht="22" customHeight="1">
      <x:c r="A24" s="60"/>
      <x:c r="B24" s="60"/>
      <x:c r="C24" s="60"/>
      <x:c r="D24" s="60"/>
      <x:c r="E24" s="60"/>
      <x:c r="F24" s="60"/>
      <x:c r="G24" s="60"/>
      <x:c r="H24" s="60"/>
    </x:row>
    <x:row r="25" ht="22" customHeight="1">
      <x:c r="A25" s="60"/>
      <x:c r="B25" s="60"/>
      <x:c r="C25" s="60"/>
      <x:c r="D25" s="60"/>
      <x:c r="E25" s="60"/>
      <x:c r="F25" s="60"/>
      <x:c r="G25" s="60"/>
      <x:c r="H25" s="60"/>
    </x:row>
    <x:row r="26" ht="22" customHeight="1">
      <x:c r="A26" s="60"/>
      <x:c r="B26" s="60"/>
      <x:c r="C26" s="60"/>
      <x:c r="D26" s="60"/>
      <x:c r="E26" s="60"/>
      <x:c r="F26" s="60"/>
      <x:c r="G26" s="60"/>
      <x:c r="H26" s="60"/>
    </x:row>
    <x:row r="27" ht="22" customHeight="1">
      <x:c r="A27" s="60"/>
      <x:c r="B27" s="60"/>
      <x:c r="C27" s="60"/>
      <x:c r="D27" s="60"/>
      <x:c r="E27" s="60"/>
      <x:c r="F27" s="60"/>
      <x:c r="G27" s="60"/>
      <x:c r="H27" s="60"/>
    </x:row>
    <x:row r="28" ht="22" customHeight="1">
      <x:c r="A28" s="60"/>
      <x:c r="B28" s="60"/>
      <x:c r="C28" s="60"/>
      <x:c r="D28" s="60"/>
      <x:c r="E28" s="60"/>
      <x:c r="F28" s="60"/>
      <x:c r="G28" s="60"/>
      <x:c r="H28" s="60"/>
    </x:row>
    <x:row r="29" ht="22" customHeight="1">
      <x:c r="A29" s="78" t="str">
        <x:v>Selection rule</x:v>
      </x:c>
      <x:c r="B29" s="78"/>
      <x:c r="C29" s="78"/>
      <x:c r="D29" s="78"/>
      <x:c r="E29" s="78"/>
      <x:c r="F29" s="78"/>
      <x:c r="G29" s="78"/>
      <x:c r="H29" s="78"/>
    </x:row>
    <x:row r="30" ht="24" customHeight="1">
      <x:c r="A30" s="79" t="str">
        <x:v>The survey intentionally combines recent IEEE work with foundational ACL papers. It covers at least two summarization papers, two fake-news papers, transformer architecture, explainability, benchmark bias/generalisation, and an evidence-oriented fact-checking direction. Older XSum and LIAR papers are retained because they define datasets directly evaluated or compared in this project.</x:v>
      </x:c>
      <x:c r="B30" s="79"/>
      <x:c r="C30" s="79"/>
      <x:c r="D30" s="79"/>
      <x:c r="E30" s="79"/>
      <x:c r="F30" s="79"/>
      <x:c r="G30" s="79"/>
      <x:c r="H30" s="79"/>
    </x:row>
    <x:row r="31" ht="24" customHeight="1">
      <x:c r="A31" s="79"/>
      <x:c r="B31" s="79"/>
      <x:c r="C31" s="79"/>
      <x:c r="D31" s="79"/>
      <x:c r="E31" s="79"/>
      <x:c r="F31" s="79"/>
      <x:c r="G31" s="79"/>
      <x:c r="H31" s="79"/>
    </x:row>
    <x:row r="32" ht="24" customHeight="1">
      <x:c r="A32" s="79"/>
      <x:c r="B32" s="79"/>
      <x:c r="C32" s="79"/>
      <x:c r="D32" s="79"/>
      <x:c r="E32" s="79"/>
      <x:c r="F32" s="79"/>
      <x:c r="G32" s="79"/>
      <x:c r="H32" s="79"/>
    </x:row>
    <x:row r="33" ht="24" customHeight="1">
      <x:c r="A33" s="79"/>
      <x:c r="B33" s="79"/>
      <x:c r="C33" s="79"/>
      <x:c r="D33" s="79"/>
      <x:c r="E33" s="79"/>
      <x:c r="F33" s="79"/>
      <x:c r="G33" s="79"/>
      <x:c r="H33" s="79"/>
    </x:row>
    <x:row r="34" ht="22" customHeight="1">
      <x:c r="A34" s="60"/>
      <x:c r="B34" s="60"/>
      <x:c r="C34" s="60"/>
      <x:c r="D34" s="60"/>
      <x:c r="E34" s="60"/>
      <x:c r="F34" s="60"/>
      <x:c r="G34" s="60"/>
      <x:c r="H34" s="60"/>
    </x:row>
    <x:row r="35" ht="22" customHeight="1">
      <x:c r="A35" s="63" t="str">
        <x:v>Ownership and permitted use</x:v>
      </x:c>
      <x:c r="B35" s="63"/>
      <x:c r="C35" s="63"/>
      <x:c r="D35" s="63"/>
      <x:c r="E35" s="63"/>
      <x:c r="F35" s="63"/>
      <x:c r="G35" s="63"/>
      <x:c r="H35" s="63"/>
    </x:row>
    <x:row r="36" ht="24" customHeight="1">
      <x:c r="A36" s="66" t="str">
        <x:v>NewsLens AI was designed and developed by Deven Sachin Gaikwad. © 2026 Deven Sachin Gaikwad. All Rights Reserved. This research matrix is proprietary project documentation; viewing the public source does not grant permission to copy, modify, redistribute, sublicense or commercially exploit it.</x:v>
      </x:c>
      <x:c r="B36" s="66"/>
      <x:c r="C36" s="66"/>
      <x:c r="D36" s="66"/>
      <x:c r="E36" s="66"/>
      <x:c r="F36" s="66"/>
      <x:c r="G36" s="66"/>
      <x:c r="H36" s="66"/>
    </x:row>
    <x:row r="37" ht="24" customHeight="1">
      <x:c r="A37" s="66"/>
      <x:c r="B37" s="66"/>
      <x:c r="C37" s="66"/>
      <x:c r="D37" s="66"/>
      <x:c r="E37" s="66"/>
      <x:c r="F37" s="66"/>
      <x:c r="G37" s="66"/>
      <x:c r="H37" s="66"/>
    </x:row>
  </x:sheetData>
  <x:mergeCells>
    <x:mergeCell ref="A1:H2"/>
    <x:mergeCell ref="A3:H3"/>
    <x:mergeCell ref="D5:H5"/>
    <x:mergeCell ref="D6:H10"/>
    <x:mergeCell ref="A29:H29"/>
    <x:mergeCell ref="A30:H33"/>
    <x:mergeCell ref="A35:H35"/>
    <x:mergeCell ref="A36:H37"/>
  </x:mergeCells>
  <x:pageMargins left="0.7" right="0.7" top="0.75" bottom="0.75" header="0.3" footer="0.3"/>
  <x:drawing xmlns:r="http://schemas.openxmlformats.org/officeDocument/2006/relationships" r:id="Rf5329f1c135f41c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33" hidden="0" customWidth="1"/>
    <x:col min="4" max="4" width="9" hidden="0" customWidth="1"/>
    <x:col min="5" max="5" width="37" hidden="0" customWidth="1"/>
    <x:col min="6" max="6" width="28" hidden="0" customWidth="1"/>
    <x:col min="7" max="7" width="34" hidden="0" customWidth="1"/>
    <x:col min="8" max="8" width="25" hidden="0" customWidth="1"/>
    <x:col min="9" max="9" width="37" hidden="0" customWidth="1"/>
    <x:col min="10" max="10" width="37" hidden="0" customWidth="1"/>
    <x:col min="11" max="11" width="37" hidden="0" customWidth="1"/>
    <x:col min="12" max="12" width="37" hidden="0" customWidth="1"/>
    <x:col min="13" max="13" width="37" hidden="0" customWidth="1"/>
    <x:col min="14" max="14" width="37" hidden="0" customWidth="1"/>
    <x:col min="15" max="15" width="37" hidden="0" customWidth="1"/>
    <x:col min="16" max="16" width="37" hidden="0" customWidth="1"/>
  </x:cols>
  <x:sheetData>
    <x:row r="1">
      <x:c r="A1" s="112" t="str">
        <x:v>RESEARCH PAPER COMPARISON MATRIX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</x:row>
    <x:row r="2">
      <x:c r="A2" s="112"/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12"/>
      <x:c r="N2" s="112"/>
      <x:c r="O2" s="112"/>
      <x:c r="P2" s="112"/>
    </x:row>
    <x:row r="3">
      <x:c r="A3" s="113" t="str">
        <x:v>Scope: automated text/news summarization, fake-news detection, explainability, benchmark bias and generalisation. Findings reflect reviewed full text where publicly available; access constraints are stated per row.</x:v>
      </x:c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  <x:c r="P3" s="113"/>
    </x:row>
    <x:row r="4">
      <x:c r="A4" s="113"/>
      <x:c r="B4" s="113"/>
      <x:c r="C4" s="113"/>
      <x:c r="D4" s="113"/>
      <x:c r="E4" s="113"/>
      <x:c r="F4" s="113"/>
      <x:c r="G4" s="113"/>
      <x:c r="H4" s="113"/>
      <x:c r="I4" s="113"/>
      <x:c r="J4" s="113"/>
      <x:c r="K4" s="113"/>
      <x:c r="L4" s="113"/>
      <x:c r="M4" s="113"/>
      <x:c r="N4" s="113"/>
      <x:c r="O4" s="113"/>
      <x:c r="P4" s="113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</x:row>
    <x:row r="6" ht="46" customHeight="1">
      <x:c r="A6" s="114" t="str">
        <x:v>Sr. No.</x:v>
      </x:c>
      <x:c r="B6" s="115" t="str">
        <x:v>Paper title</x:v>
      </x:c>
      <x:c r="C6" s="115" t="str">
        <x:v>Authors</x:v>
      </x:c>
      <x:c r="D6" s="115" t="str">
        <x:v>Year</x:v>
      </x:c>
      <x:c r="E6" s="115" t="str">
        <x:v>Publisher/conference/journal</x:v>
      </x:c>
      <x:c r="F6" s="115" t="str">
        <x:v>DOI</x:v>
      </x:c>
      <x:c r="G6" s="115" t="str">
        <x:v>IEEE Xplore link</x:v>
      </x:c>
      <x:c r="H6" s="115" t="str">
        <x:v>Access status</x:v>
      </x:c>
      <x:c r="I6" s="115" t="str">
        <x:v>Dataset</x:v>
      </x:c>
      <x:c r="J6" s="115" t="str">
        <x:v>Method/model</x:v>
      </x:c>
      <x:c r="K6" s="115" t="str">
        <x:v>Evaluation metrics</x:v>
      </x:c>
      <x:c r="L6" s="115" t="str">
        <x:v>Major findings</x:v>
      </x:c>
      <x:c r="M6" s="115" t="str">
        <x:v>Limitations</x:v>
      </x:c>
      <x:c r="N6" s="115" t="str">
        <x:v>Relevance to this project</x:v>
      </x:c>
      <x:c r="O6" s="115" t="str">
        <x:v>Research gap identified</x:v>
      </x:c>
      <x:c r="P6" s="116" t="str">
        <x:v>Source URL</x:v>
      </x:c>
    </x:row>
    <x:row r="7" ht="112" customHeight="1">
      <x:c r="A7" s="117" t="n">
        <x:v>1</x:v>
      </x:c>
      <x:c r="B7" s="118" t="str">
        <x:v>Text Summarization using Transformer Model</x:v>
      </x:c>
      <x:c r="C7" s="118" t="str">
        <x:v>Jaishree Ranganathan; Gloria Abuka</x:v>
      </x:c>
      <x:c r="D7" s="119" t="n">
        <x:v>2022</x:v>
      </x:c>
      <x:c r="E7" s="118" t="str">
        <x:v>IEEE, Ninth International Conference on Social Networks Analysis, Management and Security (SNAMS), pp. 1–5</x:v>
      </x:c>
      <x:c r="F7" s="118" t="str">
        <x:v>10.1109/SNAMS58071.2022.10062698</x:v>
      </x:c>
      <x:c r="G7" s="118" t="str">
        <x:v>https://ieeexplore.ieee.org/document/10062698/</x:v>
      </x:c>
      <x:c r="H7" s="118" t="str">
        <x:v>Institutional Access Required</x:v>
      </x:c>
      <x:c r="I7" s="118" t="str">
        <x:v>UCI Drug Reviews with manually created summaries for reviews of 500 drugs; BBC News used as an additional benchmark</x:v>
      </x:c>
      <x:c r="J7" s="118" t="str">
        <x:v>Fine-tuned T5-small text-to-text transformer for abstractive summarization</x:v>
      </x:c>
      <x:c r="K7" s="118" t="str">
        <x:v>ROUGE-1, ROUGE-2, ROUGE-L; three-run averages and 95% confidence intervals</x:v>
      </x:c>
      <x:c r="L7" s="118" t="str">
        <x:v>Reported average ROUGE-1/2/L scores were 45.62/25.58/36.53 on drug reviews and 69.05/59.70/52.97 on BBC News, showing a large dependence on domain and reference-set size.</x:v>
      </x:c>
      <x:c r="M7" s="118" t="str">
        <x:v>Only 500 drug groups received labor-intensive human summaries; full IEEE access depends on institutional entitlement. Metadata and an author-uploaded copy were reviewed; users should verify the publisher-formatted IEEE copy through their institute.</x:v>
      </x:c>
      <x:c r="N7" s="118" t="str">
        <x:v>Supports the optional CPU-oriented T5/BART-family abstractive branch and the use of ROUGE plus repeated evaluation.</x:v>
      </x:c>
      <x:c r="O7" s="118" t="str">
        <x:v>Needs larger, news-specific, diverse reference sets and explicit factual-consistency/latency evaluation.</x:v>
      </x:c>
      <x:c r="P7" s="120" t="str">
        <x:v>https://doi.org/10.1109/SNAMS58071.2022.10062698</x:v>
      </x:c>
    </x:row>
    <x:row r="8" ht="112" customHeight="1">
      <x:c r="A8" s="121" t="n">
        <x:v>2</x:v>
      </x:c>
      <x:c r="B8" s="122" t="str">
        <x:v>Text Summarization using NLP Technique</x:v>
      </x:c>
      <x:c r="C8" s="122" t="str">
        <x:v>N. Balaji; Deepa Kumari; N. Bhavatarini; N. Megha; P. Sunil Kumar; A. Shikah Rai</x:v>
      </x:c>
      <x:c r="D8" s="123" t="n">
        <x:v>2022</x:v>
      </x:c>
      <x:c r="E8" s="122" t="str">
        <x:v>IEEE, International Conference on Distributed Computing, VLSI, Electrical Circuits and Robotics (DISCOVER), pp. 30–35</x:v>
      </x:c>
      <x:c r="F8" s="122" t="str">
        <x:v>10.1109/DISCOVER55800.2022.9974823</x:v>
      </x:c>
      <x:c r="G8" s="122" t="str">
        <x:v>https://ieeexplore.ieee.org/document/9974823/</x:v>
      </x:c>
      <x:c r="H8" s="122" t="str">
        <x:v>Institutional Access Required</x:v>
      </x:c>
      <x:c r="I8" s="122" t="str">
        <x:v>BBC News Summary dataset: 2,225 articles across business, entertainment, politics, sport and technology</x:v>
      </x:c>
      <x:c r="J8" s="122" t="str">
        <x:v>Pretrained T5 abstractive summarization pipeline</x:v>
      </x:c>
      <x:c r="K8" s="122" t="str">
        <x:v>ROUGE-1, ROUGE-2 and ROUGE-L precision, recall and F1</x:v>
      </x:c>
      <x:c r="L8" s="122" t="str">
        <x:v>The paper reports F1 scores of 0.68, 0.60 and 0.67 for ROUGE-1, ROUGE-2 and ROUGE-L respectively on its BBC test setting.</x:v>
      </x:c>
      <x:c r="M8" s="122" t="str">
        <x:v>Input length was constrained to 512 words; single historical BBC corpus limits domain coverage. IEEE access is institution-dependent; the author-uploaded copy and metadata were reviewed.</x:v>
      </x:c>
      <x:c r="N8" s="122" t="str">
        <x:v>Motivates reference-summary evaluation, explicit context-window handling and a transparent transformer fallback.</x:v>
      </x:c>
      <x:c r="O8" s="122" t="str">
        <x:v>Long-document chunking, cross-domain validation, factual consistency and laptop latency require direct engineering treatment.</x:v>
      </x:c>
      <x:c r="P8" s="124" t="str">
        <x:v>https://doi.org/10.1109/DISCOVER55800.2022.9974823</x:v>
      </x:c>
    </x:row>
    <x:row r="9" ht="112" customHeight="1">
      <x:c r="A9" s="117" t="n">
        <x:v>3</x:v>
      </x:c>
      <x:c r="B9" s="118" t="str">
        <x:v>Explainable Detection of Fake News on Social Media Using Pyramidal Co-Attention Network</x:v>
      </x:c>
      <x:c r="C9" s="118" t="str">
        <x:v>Fazlullah Khan; Ryan Alturki; Gautam Srivastava; Foziah Gazzawe; Syed Tauhid Ullah Shah; Spyridon Mastorakis</x:v>
      </x:c>
      <x:c r="D9" s="119" t="n">
        <x:v>2024</x:v>
      </x:c>
      <x:c r="E9" s="118" t="str">
        <x:v>IEEE Transactions on Computational Social Systems, vol. 11, no. 4, pp. 4574–4583 (early access 2022)</x:v>
      </x:c>
      <x:c r="F9" s="118" t="str">
        <x:v>10.1109/TCSS.2022.3207993</x:v>
      </x:c>
      <x:c r="G9" s="118" t="str">
        <x:v>https://ieeexplore.ieee.org/document/9908576/</x:v>
      </x:c>
      <x:c r="H9" s="118" t="str">
        <x:v>Open Access</x:v>
      </x:c>
      <x:c r="I9" s="118" t="str">
        <x:v>FakeNewsNet: PolitiFact and GossipCop news with user comments; items with at least three comments</x:v>
      </x:c>
      <x:c r="J9" s="118" t="str">
        <x:v>Pyramidal sentence-comment co-attention with top-k check-worthy sentence/comment explanations</x:v>
      </x:c>
      <x:c r="K9" s="118" t="str">
        <x:v>Accuracy, precision, recall, F1; MAP, NDCG and precision for explanation ranking</x:v>
      </x:c>
      <x:c r="L9" s="118" t="str">
        <x:v>The full text reports a 5.56% relative F1 improvement over a comparison method and gains of 16.4% NDCG and 22.1% precision for top-k comment explanations.</x:v>
      </x:c>
      <x:c r="M9" s="118" t="str">
        <x:v>Requires social comments that may be unavailable, delayed, noisy or manipulable; explanation rankings are not causal evidence.</x:v>
      </x:c>
      <x:c r="N9" s="118" t="str">
        <x:v>Directly motivates showing influential text while separating a risk prediction from verified truth.</x:v>
      </x:c>
      <x:c r="O9" s="118" t="str">
        <x:v>A local, article-only explanation is needed when social context is unavailable, with explicit user-facing uncertainty.</x:v>
      </x:c>
      <x:c r="P9" s="120" t="str">
        <x:v>https://par.nsf.gov/servlets/purl/10406319</x:v>
      </x:c>
    </x:row>
    <x:row r="10" ht="112" customHeight="1">
      <x:c r="A10" s="121" t="n">
        <x:v>4</x:v>
      </x:c>
      <x:c r="B10" s="122" t="str">
        <x:v>Explainable Fact-Checking Through Question Answering</x:v>
      </x:c>
      <x:c r="C10" s="122" t="str">
        <x:v>Jing Yang; Didier Vega-Oliveros; Taís Seibt; Anderson Rocha</x:v>
      </x:c>
      <x:c r="D10" s="123" t="n">
        <x:v>2022</x:v>
      </x:c>
      <x:c r="E10" s="122" t="str">
        <x:v>IEEE ICASSP 2022</x:v>
      </x:c>
      <x:c r="F10" s="122" t="str">
        <x:v>10.1109/ICASSP43922.2022.9747214</x:v>
      </x:c>
      <x:c r="G10" s="122" t="str">
        <x:v>https://ieeexplore.ieee.org/document/9747214/</x:v>
      </x:c>
      <x:c r="H10" s="122" t="str">
        <x:v>Open Access</x:v>
      </x:c>
      <x:c r="I10" s="122" t="str">
        <x:v>Fool-Me-Twice (FM2), 12,968 claims with associated gold evidence</x:v>
      </x:c>
      <x:c r="J10" s="122" t="str">
        <x:v>BART-large question-answer generation, extractive QA, MPNet answer comparison and question attention</x:v>
      </x:c>
      <x:c r="K10" s="122" t="str">
        <x:v>Development/test macro accuracy over five runs; qualitative attention inspection</x:v>
      </x:c>
      <x:c r="L10" s="122" t="str">
        <x:v>The explainable attention model reached 73.43±0.83 test accuracy, close to the 74.58±1.66 black-box baseline, while exposing question/answer comparisons.</x:v>
      </x:c>
      <x:c r="M10" s="122" t="str">
        <x:v>Uses gold rather than retrieved evidence; repetitive or incorrect generated questions remain possible.</x:v>
      </x:c>
      <x:c r="N10" s="122" t="str">
        <x:v>Defines the stronger evidence-based direction beyond linguistic classification and supports explicit explanation boundaries.</x:v>
      </x:c>
      <x:c r="O10" s="122" t="str">
        <x:v>End-to-end evidence retrieval, calibration and human evaluation must be integrated before claims can be fact-checked reliably.</x:v>
      </x:c>
      <x:c r="P10" s="124" t="str">
        <x:v>https://arxiv.org/abs/2110.05369</x:v>
      </x:c>
    </x:row>
    <x:row r="11" ht="112" customHeight="1">
      <x:c r="A11" s="117" t="n">
        <x:v>5</x:v>
      </x:c>
      <x:c r="B11" s="118" t="str">
        <x:v>Advancing Fake News Detection: Hybrid Deep Learning With FastText and Explainable AI</x:v>
      </x:c>
      <x:c r="C11" s="118" t="str">
        <x:v>Ehtesham Hashmi; Sule Yildirim Yayilgan; Muhammad Mudassar Yamin; Subhan Ali; Mohamed Abomhara</x:v>
      </x:c>
      <x:c r="D11" s="119" t="n">
        <x:v>2024</x:v>
      </x:c>
      <x:c r="E11" s="118" t="str">
        <x:v>IEEE Access, vol. 12, pp. 44462–44480</x:v>
      </x:c>
      <x:c r="F11" s="118" t="str">
        <x:v>10.1109/ACCESS.2024.3381038</x:v>
      </x:c>
      <x:c r="G11" s="118" t="str">
        <x:v>https://ieeexplore.ieee.org/document/10477989/</x:v>
      </x:c>
      <x:c r="H11" s="118" t="str">
        <x:v>Open Access</x:v>
      </x:c>
      <x:c r="I11" s="118" t="str">
        <x:v>WELFake, FakeNewsNet and FakeNewsPrediction</x:v>
      </x:c>
      <x:c r="J11" s="118" t="str">
        <x:v>Supervised/unsupervised FastText with ML/DL models; CNN-LSTM champion; LDA and LIME explanations</x:v>
      </x:c>
      <x:c r="K11" s="118" t="str">
        <x:v>Accuracy, precision, recall, F1, confusion matrix; topic coherence and perplexity</x:v>
      </x:c>
      <x:c r="L11" s="118" t="str">
        <x:v>The paper reports CNN-LSTM accuracy around 0.99 on WELFake and FakeNewsNet, outperforming cited 0.97 baselines, and uses LIME to inspect decisions.</x:v>
      </x:c>
      <x:c r="M11" s="118" t="str">
        <x:v>Very high within-dataset results may still reflect topical/outlet artefacts; deep hybrids are heavier than a student-laptop linear baseline.</x:v>
      </x:c>
      <x:c r="N11" s="118" t="str">
        <x:v>Supports model comparison, hyperparameter tuning, local explanations and cautious interpretation of high benchmark scores.</x:v>
      </x:c>
      <x:c r="O11" s="118" t="str">
        <x:v>Publisher/event-separated external validation and explanation-fidelity studies are required for real-world trust.</x:v>
      </x:c>
      <x:c r="P11" s="120" t="str">
        <x:v>https://doi.org/10.1109/ACCESS.2024.3381038</x:v>
      </x:c>
    </x:row>
    <x:row r="12" ht="112" customHeight="1">
      <x:c r="A12" s="121" t="n">
        <x:v>6</x:v>
      </x:c>
      <x:c r="B12" s="122" t="str">
        <x:v>Understanding the Use and Abuse of Social Media: Generalized Fake News Detection With a Multichannel Deep Neural Network</x:v>
      </x:c>
      <x:c r="C12" s="122" t="str">
        <x:v>Rohit Kumar Kaliyar; Anurag Goswami; Pratik Narang; Vinay Chamola</x:v>
      </x:c>
      <x:c r="D12" s="123" t="n">
        <x:v>2024</x:v>
      </x:c>
      <x:c r="E12" s="122" t="str">
        <x:v>IEEE Transactions on Computational Social Systems, vol. 11, no. 4, pp. 4878–4887 (early access 2022)</x:v>
      </x:c>
      <x:c r="F12" s="122" t="str">
        <x:v>10.1109/TCSS.2022.3221811</x:v>
      </x:c>
      <x:c r="G12" s="122" t="str">
        <x:v>https://ieeexplore.ieee.org/document/9956917/</x:v>
      </x:c>
      <x:c r="H12" s="122" t="str">
        <x:v>Institutional Access Required</x:v>
      </x:c>
      <x:c r="I12" s="122" t="str">
        <x:v>PHEME, FN-COV and CoAID</x:v>
      </x:c>
      <x:c r="J12" s="122" t="str">
        <x:v>Multichannel 1D-CNN with multiple n-gram resolutions and dense layers</x:v>
      </x:c>
      <x:c r="K12" s="122" t="str">
        <x:v>Accuracy, precision, recall, F1, false-positive rate and false-negative rate</x:v>
      </x:c>
      <x:c r="L12" s="122" t="str">
        <x:v>Reported MCNN accuracy was 90.10% on PHEME, 98.20% on FN-COV and 90.10% on CoAID; dataset-specific variation remained substantial.</x:v>
      </x:c>
      <x:c r="M12" s="122" t="str">
        <x:v>Text-only, binary, model-oriented evaluation; testing several datasets is not the same as training on one publisher group and testing on an unseen group. Institute access should be verified.</x:v>
      </x:c>
      <x:c r="N12" s="122" t="str">
        <x:v>Reinforces multi-dataset generalisation analysis and reporting more than accuracy alone.</x:v>
      </x:c>
      <x:c r="O12" s="122" t="str">
        <x:v>Stronger cross-event/cross-publisher protocols, multimodal context and calibrated abstention are still needed.</x:v>
      </x:c>
      <x:c r="P12" s="124" t="str">
        <x:v>https://doi.org/10.1109/TCSS.2022.3221811</x:v>
      </x:c>
    </x:row>
    <x:row r="13" ht="112" customHeight="1">
      <x:c r="A13" s="117" t="n">
        <x:v>7</x:v>
      </x:c>
      <x:c r="B13" s="118" t="str">
        <x:v>BART: Denoising Sequence-to-Sequence Pre-training for Natural Language Generation, Translation, and Comprehension</x:v>
      </x:c>
      <x:c r="C13" s="118" t="str">
        <x:v>Mike Lewis; Yinhan Liu; Naman Goyal; Marjan Ghazvininejad; Abdelrahman Mohamed; Omer Levy; Veselin Stoyanov; Luke Zettlemoyer</x:v>
      </x:c>
      <x:c r="D13" s="119" t="n">
        <x:v>2020</x:v>
      </x:c>
      <x:c r="E13" s="118" t="str">
        <x:v>Association for Computational Linguistics, ACL 2020, pp. 7871–7880</x:v>
      </x:c>
      <x:c r="F13" s="118" t="str">
        <x:v>10.18653/v1/2020.acl-main.703</x:v>
      </x:c>
      <x:c r="G13" s="118" t="str">
        <x:v>Not applicable</x:v>
      </x:c>
      <x:c r="H13" s="118" t="str">
        <x:v>Open Access</x:v>
      </x:c>
      <x:c r="I13" s="118" t="str">
        <x:v>Multiple generation/comprehension benchmarks, including CNN/DailyMail and XSum summarization</x:v>
      </x:c>
      <x:c r="J13" s="118" t="str">
        <x:v>Denoising encoder-decoder Transformer with bidirectional encoder and autoregressive decoder</x:v>
      </x:c>
      <x:c r="K13" s="118" t="str">
        <x:v>ROUGE for summarization plus task-specific generation and comprehension metrics</x:v>
      </x:c>
      <x:c r="L13" s="118" t="str">
        <x:v>BART's text-infilling and sentence-permutation pretraining produced strong results across generation tasks and established the architecture behind DistilBART.</x:v>
      </x:c>
      <x:c r="M13" s="118" t="str">
        <x:v>Large pretrained models add download size, memory, latency and potential hallucination; benchmark overlap does not ensure factuality.</x:v>
      </x:c>
      <x:c r="N13" s="118" t="str">
        <x:v>Provides the technical foundation for the optional DistilBART branch and justifies an extractive fallback.</x:v>
      </x:c>
      <x:c r="O13" s="118" t="str">
        <x:v>Long-input, factuality-aware, CPU-efficient inference needs additional engineering beyond the base architecture.</x:v>
      </x:c>
      <x:c r="P13" s="120" t="str">
        <x:v>https://aclanthology.org/2020.acl-main.703/</x:v>
      </x:c>
    </x:row>
    <x:row r="14" ht="112" customHeight="1">
      <x:c r="A14" s="121" t="n">
        <x:v>8</x:v>
      </x:c>
      <x:c r="B14" s="122" t="str">
        <x:v>Automatic Fake News Detection: Are Models Learning to Reason?</x:v>
      </x:c>
      <x:c r="C14" s="122" t="str">
        <x:v>Casper Hansen; Christian Hansen; Lucas Chaves Lima</x:v>
      </x:c>
      <x:c r="D14" s="123" t="n">
        <x:v>2021</x:v>
      </x:c>
      <x:c r="E14" s="122" t="str">
        <x:v>ACL-IJCNLP 2021, Short Papers, pp. 80–86</x:v>
      </x:c>
      <x:c r="F14" s="122" t="str">
        <x:v>10.18653/v1/2021.acl-short.12</x:v>
      </x:c>
      <x:c r="G14" s="122" t="str">
        <x:v>Not applicable</x:v>
      </x:c>
      <x:c r="H14" s="122" t="str">
        <x:v>Open Access</x:v>
      </x:c>
      <x:c r="I14" s="122" t="str">
        <x:v>Political fact-checking datasets with claims and evidence</x:v>
      </x:c>
      <x:c r="J14" s="122" t="str">
        <x:v>Controlled claim-only, evidence-only and claim-plus-evidence experiments with neural fact-checking models</x:v>
      </x:c>
      <x:c r="K14" s="122" t="str">
        <x:v>Classification effectiveness across input ablations</x:v>
      </x:c>
      <x:c r="L14" s="122" t="str">
        <x:v>Evidence-only input often performed best; including the claim was negligible or harmful, revealing dataset/evidence shortcuts rather than assured reasoning.</x:v>
      </x:c>
      <x:c r="M14" s="122" t="str">
        <x:v>Focuses on specific political fact-checking benchmarks and does not itself solve robust evidence retrieval.</x:v>
      </x:c>
      <x:c r="N14" s="122" t="str">
        <x:v>Directly supports source-shortcut mitigation, independent module boundaries and a prominent generalisation warning.</x:v>
      </x:c>
      <x:c r="O14" s="122" t="str">
        <x:v>Benchmarks and splits must test reasoning and unseen domains rather than reward stable annotation artefacts.</x:v>
      </x:c>
      <x:c r="P14" s="124" t="str">
        <x:v>https://aclanthology.org/2021.acl-short.12/</x:v>
      </x:c>
    </x:row>
    <x:row r="15" ht="112" customHeight="1">
      <x:c r="A15" s="117" t="n">
        <x:v>9</x:v>
      </x:c>
      <x:c r="B15" s="118" t="str">
        <x:v>Don’t Give Me the Details, Just the Summary! Topic-Aware Convolutional Neural Networks for Extreme Summarization</x:v>
      </x:c>
      <x:c r="C15" s="118" t="str">
        <x:v>Shashi Narayan; Shay B. Cohen; Mirella Lapata</x:v>
      </x:c>
      <x:c r="D15" s="119" t="n">
        <x:v>2018</x:v>
      </x:c>
      <x:c r="E15" s="118" t="str">
        <x:v>EMNLP 2018, pp. 1797–1807</x:v>
      </x:c>
      <x:c r="F15" s="118" t="str">
        <x:v>10.18653/v1/D18-1206</x:v>
      </x:c>
      <x:c r="G15" s="118" t="str">
        <x:v>Not applicable</x:v>
      </x:c>
      <x:c r="H15" s="118" t="str">
        <x:v>Open Access</x:v>
      </x:c>
      <x:c r="I15" s="118" t="str">
        <x:v>XSum: 226,711 BBC articles from 2010–2017 with one-sentence summaries</x:v>
      </x:c>
      <x:c r="J15" s="118" t="str">
        <x:v>Topic-aware convolutional encoder-decoder for extreme abstractive summarization</x:v>
      </x:c>
      <x:c r="K15" s="118" t="str">
        <x:v>Automatic ROUGE and human evaluation</x:v>
      </x:c>
      <x:c r="L15" s="118" t="str">
        <x:v>Introduced a news benchmark deliberately unfavorable to extractive strategies and reported gains over extractive and abstractive baselines.</x:v>
      </x:c>
      <x:c r="M15" s="118" t="str">
        <x:v>Single broadcaster and historical period; one-sentence references can penalize useful extractive summaries and encourage aggressive abstraction.</x:v>
      </x:c>
      <x:c r="N15" s="118" t="str">
        <x:v>Provides the legitimate reference-summary dataset used for the measured 150-row evaluation.</x:v>
      </x:c>
      <x:c r="O15" s="118" t="str">
        <x:v>ROUGE should be paired with factual-consistency, coherence, latency and domain-diversity evaluation.</x:v>
      </x:c>
      <x:c r="P15" s="120" t="str">
        <x:v>https://aclanthology.org/D18-1206/</x:v>
      </x:c>
    </x:row>
    <x:row r="16" ht="112" customHeight="1">
      <x:c r="A16" s="125" t="n">
        <x:v>10</x:v>
      </x:c>
      <x:c r="B16" s="126" t="str">
        <x:v>‘Liar, Liar Pants on Fire’: A New Benchmark Dataset for Fake News Detection</x:v>
      </x:c>
      <x:c r="C16" s="126" t="str">
        <x:v>William Yang Wang</x:v>
      </x:c>
      <x:c r="D16" s="127" t="n">
        <x:v>2017</x:v>
      </x:c>
      <x:c r="E16" s="126" t="str">
        <x:v>ACL 2017, Short Papers, pp. 422–426</x:v>
      </x:c>
      <x:c r="F16" s="126" t="str">
        <x:v>10.18653/v1/P17-2067</x:v>
      </x:c>
      <x:c r="G16" s="126" t="str">
        <x:v>Not applicable</x:v>
      </x:c>
      <x:c r="H16" s="126" t="str">
        <x:v>Open Access</x:v>
      </x:c>
      <x:c r="I16" s="126" t="str">
        <x:v>LIAR: 12.8K decade-spanning, manually labelled PolitiFact short statements with metadata</x:v>
      </x:c>
      <x:c r="J16" s="126" t="str">
        <x:v>Text baselines and a hybrid CNN combining statement text with metadata</x:v>
      </x:c>
      <x:c r="K16" s="126" t="str">
        <x:v>Multi-class classification accuracy and related benchmark comparisons</x:v>
      </x:c>
      <x:c r="L16" s="126" t="str">
        <x:v>Introduced a public six-label benchmark and showed that combining metadata with text can improve a text-only deep model.</x:v>
      </x:c>
      <x:c r="M16" s="126" t="str">
        <x:v>Short political claims are not full news articles; metadata can become a shortcut and six labels require mapping for binary use.</x:v>
      </x:c>
      <x:c r="N16" s="126" t="str">
        <x:v>Explains why LIAR was evaluated but ISOT was selected for full-article binary classification.</x:v>
      </x:c>
      <x:c r="O16" s="126" t="str">
        <x:v>Full-article, source-diverse, event-grouped labels with transparent annotation and licensing remain scarce.</x:v>
      </x:c>
      <x:c r="P16" s="128" t="str">
        <x:v>https://aclanthology.org/P17-2067/</x:v>
      </x:c>
    </x:row>
  </x:sheetData>
  <x:mergeCells>
    <x:mergeCell ref="A1:P2"/>
    <x:mergeCell ref="A3:P4"/>
  </x:mergeCells>
  <x:conditionalFormatting sqref="H7:H16">
    <x:cfRule type="containsText" dxfId="0" priority="1" operator="containsText" text="Open Access"/>
    <x:cfRule type="containsText" dxfId="1" priority="2" operator="containsText" text="Institutional"/>
  </x:conditionalFormatting>
  <x:pageMargins left="0.7" right="0.7" top="0.75" bottom="0.75" header="0.3" footer="0.3"/>
  <x:tableParts count="1">
    <x:tablePart xmlns:r="http://schemas.openxmlformats.org/officeDocument/2006/relationships" r:id="Ra5f0415317aa40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18" hidden="0" customWidth="1"/>
    <x:col min="5" max="5" width="25" hidden="0" customWidth="1"/>
    <x:col min="6" max="6" width="38" hidden="0" customWidth="1"/>
  </x:cols>
  <x:sheetData>
    <x:row r="1">
      <x:c r="A1" s="112" t="str">
        <x:v>COVERAGE AND REQUIREMENT MAP</x:v>
      </x:c>
      <x:c r="B1" s="112"/>
      <x:c r="C1" s="112"/>
      <x:c r="D1" s="112"/>
      <x:c r="E1" s="112"/>
      <x:c r="F1" s="112"/>
    </x:row>
    <x:row r="2">
      <x:c r="A2" s="112"/>
      <x:c r="B2" s="112"/>
      <x:c r="C2" s="112"/>
      <x:c r="D2" s="112"/>
      <x:c r="E2" s="112"/>
      <x:c r="F2" s="112"/>
    </x:row>
    <x:row r="3">
      <x:c r="A3" s="60"/>
      <x:c r="B3" s="60"/>
      <x:c r="C3" s="60"/>
      <x:c r="D3" s="60"/>
      <x:c r="E3" s="60"/>
      <x:c r="F3" s="60"/>
    </x:row>
    <x:row r="4">
      <x:c r="A4" s="136" t="str">
        <x:v>This sheet makes the literature-selection coverage auditable rather than relying on colour or narrative alone.</x:v>
      </x:c>
      <x:c r="B4" s="136"/>
      <x:c r="C4" s="136"/>
      <x:c r="D4" s="136"/>
      <x:c r="E4" s="136"/>
      <x:c r="F4" s="136"/>
    </x:row>
    <x:row r="5">
      <x:c r="A5" s="60"/>
      <x:c r="B5" s="60"/>
      <x:c r="C5" s="60"/>
      <x:c r="D5" s="60"/>
      <x:c r="E5" s="60"/>
      <x:c r="F5" s="60"/>
    </x:row>
    <x:row r="6">
      <x:c r="A6" s="137" t="str">
        <x:v>Sr. No.</x:v>
      </x:c>
      <x:c r="B6" s="137" t="str">
        <x:v>Primary area</x:v>
      </x:c>
      <x:c r="C6" s="137" t="str">
        <x:v>Required theme</x:v>
      </x:c>
      <x:c r="D6" s="137" t="str">
        <x:v>Venue family</x:v>
      </x:c>
      <x:c r="E6" s="137" t="str">
        <x:v>Core model</x:v>
      </x:c>
      <x:c r="F6" s="137" t="str">
        <x:v>Why selected</x:v>
      </x:c>
    </x:row>
    <x:row r="7" ht="48" customHeight="1">
      <x:c r="A7" s="138" t="n">
        <x:v>1</x:v>
      </x:c>
      <x:c r="B7" s="138" t="str">
        <x:v>Summarization</x:v>
      </x:c>
      <x:c r="C7" s="138" t="str">
        <x:v>Transformer / domain evaluation</x:v>
      </x:c>
      <x:c r="D7" s="138" t="str">
        <x:v>IEEE</x:v>
      </x:c>
      <x:c r="E7" s="138" t="str">
        <x:v>T5</x:v>
      </x:c>
      <x:c r="F7" s="138" t="str">
        <x:v>ROUGE + repeated runs</x:v>
      </x:c>
    </x:row>
    <x:row r="8" ht="48" customHeight="1">
      <x:c r="A8" s="139" t="n">
        <x:v>2</x:v>
      </x:c>
      <x:c r="B8" s="139" t="str">
        <x:v>Summarization</x:v>
      </x:c>
      <x:c r="C8" s="139" t="str">
        <x:v>News summarization</x:v>
      </x:c>
      <x:c r="D8" s="139" t="str">
        <x:v>IEEE</x:v>
      </x:c>
      <x:c r="E8" s="139" t="str">
        <x:v>T5</x:v>
      </x:c>
      <x:c r="F8" s="139" t="str">
        <x:v>ROUGE precision/recall/F1</x:v>
      </x:c>
    </x:row>
    <x:row r="9" ht="48" customHeight="1">
      <x:c r="A9" s="138" t="n">
        <x:v>3</x:v>
      </x:c>
      <x:c r="B9" s="138" t="str">
        <x:v>Fake-news detection</x:v>
      </x:c>
      <x:c r="C9" s="138" t="str">
        <x:v>Explainability</x:v>
      </x:c>
      <x:c r="D9" s="138" t="str">
        <x:v>IEEE</x:v>
      </x:c>
      <x:c r="E9" s="138" t="str">
        <x:v>Co-attention</x:v>
      </x:c>
      <x:c r="F9" s="138" t="str">
        <x:v>Top-k sentence/comment XAI</x:v>
      </x:c>
    </x:row>
    <x:row r="10" ht="48" customHeight="1">
      <x:c r="A10" s="139" t="n">
        <x:v>4</x:v>
      </x:c>
      <x:c r="B10" s="139" t="str">
        <x:v>Integrated fact-checking</x:v>
      </x:c>
      <x:c r="C10" s="139" t="str">
        <x:v>Evidence + explainability</x:v>
      </x:c>
      <x:c r="D10" s="139" t="str">
        <x:v>IEEE</x:v>
      </x:c>
      <x:c r="E10" s="139" t="str">
        <x:v>QA + attention</x:v>
      </x:c>
      <x:c r="F10" s="139" t="str">
        <x:v>Gold-evidence limitation exposed</x:v>
      </x:c>
    </x:row>
    <x:row r="11" ht="48" customHeight="1">
      <x:c r="A11" s="138" t="n">
        <x:v>5</x:v>
      </x:c>
      <x:c r="B11" s="138" t="str">
        <x:v>Fake-news detection</x:v>
      </x:c>
      <x:c r="C11" s="138" t="str">
        <x:v>Hybrid DL + XAI</x:v>
      </x:c>
      <x:c r="D11" s="138" t="str">
        <x:v>IEEE</x:v>
      </x:c>
      <x:c r="E11" s="138" t="str">
        <x:v>FastText CNN-LSTM</x:v>
      </x:c>
      <x:c r="F11" s="138" t="str">
        <x:v>Multi-dataset + LIME</x:v>
      </x:c>
    </x:row>
    <x:row r="12" ht="48" customHeight="1">
      <x:c r="A12" s="139" t="n">
        <x:v>6</x:v>
      </x:c>
      <x:c r="B12" s="139" t="str">
        <x:v>Fake-news detection</x:v>
      </x:c>
      <x:c r="C12" s="139" t="str">
        <x:v>Generalisation</x:v>
      </x:c>
      <x:c r="D12" s="139" t="str">
        <x:v>IEEE</x:v>
      </x:c>
      <x:c r="E12" s="139" t="str">
        <x:v>Multichannel CNN</x:v>
      </x:c>
      <x:c r="F12" s="139" t="str">
        <x:v>Three real-world datasets</x:v>
      </x:c>
    </x:row>
    <x:row r="13" ht="48" customHeight="1">
      <x:c r="A13" s="138" t="n">
        <x:v>7</x:v>
      </x:c>
      <x:c r="B13" s="138" t="str">
        <x:v>Summarization</x:v>
      </x:c>
      <x:c r="C13" s="138" t="str">
        <x:v>Transformer foundation</x:v>
      </x:c>
      <x:c r="D13" s="138" t="str">
        <x:v>ACL</x:v>
      </x:c>
      <x:c r="E13" s="138" t="str">
        <x:v>BART</x:v>
      </x:c>
      <x:c r="F13" s="138" t="str">
        <x:v>Denoising encoder-decoder</x:v>
      </x:c>
    </x:row>
    <x:row r="14" ht="48" customHeight="1">
      <x:c r="A14" s="139" t="n">
        <x:v>8</x:v>
      </x:c>
      <x:c r="B14" s="139" t="str">
        <x:v>Fake-news detection</x:v>
      </x:c>
      <x:c r="C14" s="139" t="str">
        <x:v>Dataset bias/reasoning</x:v>
      </x:c>
      <x:c r="D14" s="139" t="str">
        <x:v>ACL</x:v>
      </x:c>
      <x:c r="E14" s="139" t="str">
        <x:v>Ablation study</x:v>
      </x:c>
      <x:c r="F14" s="139" t="str">
        <x:v>Evidence shortcut warning</x:v>
      </x:c>
    </x:row>
    <x:row r="15" ht="48" customHeight="1">
      <x:c r="A15" s="138" t="n">
        <x:v>9</x:v>
      </x:c>
      <x:c r="B15" s="138" t="str">
        <x:v>Summarization</x:v>
      </x:c>
      <x:c r="C15" s="138" t="str">
        <x:v>Dataset foundation</x:v>
      </x:c>
      <x:c r="D15" s="138" t="str">
        <x:v>ACL</x:v>
      </x:c>
      <x:c r="E15" s="138" t="str">
        <x:v>Topic-aware ConvS2S</x:v>
      </x:c>
      <x:c r="F15" s="138" t="str">
        <x:v>Introduced XSum</x:v>
      </x:c>
    </x:row>
    <x:row r="16" ht="48" customHeight="1">
      <x:c r="A16" s="139" t="n">
        <x:v>10</x:v>
      </x:c>
      <x:c r="B16" s="139" t="str">
        <x:v>Fake-news detection</x:v>
      </x:c>
      <x:c r="C16" s="139" t="str">
        <x:v>Dataset foundation</x:v>
      </x:c>
      <x:c r="D16" s="139" t="str">
        <x:v>ACL</x:v>
      </x:c>
      <x:c r="E16" s="139" t="str">
        <x:v>Hybrid CNN</x:v>
      </x:c>
      <x:c r="F16" s="139" t="str">
        <x:v>Introduced LIAR</x:v>
      </x:c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6308456bffb84360"/>
  </x:tableParts>
</x:worksheet>
</file>

<file path=docProps/app.xml><?xml version="1.0" encoding="utf-8"?>
<Properties xmlns="http://schemas.openxmlformats.org/officeDocument/2006/extended-properties">
  <Application>NewsLens AI</Application>
  <Company>Deven Sachin Gaikwad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NewsLens AI Research Paper Matrix</dc:title>
  <dc:subject>Sanitized NewsLens AI literature survey and research matrix</dc:subject>
  <dc:creator>Deven Sachin Gaikwad</dc:creator>
  <dc:rights>© 2026 Deven Sachin Gaikwad. All Rights Reserved.</dc:rights>
  <cp:keywords>NewsLens AI, literature survey, research matrix</cp:keywords>
  <cp:lastModifiedBy>Deven Sachin Gaikwad</cp:lastModifiedBy>
  <dcterms:created xsi:type="dcterms:W3CDTF">2026-08-16T00:00:00Z</dcterms:created>
  <dcterms:modified xsi:type="dcterms:W3CDTF">2026-08-16T00:00:00Z</dcterms:modified>
</cp:coreProperties>
</file>